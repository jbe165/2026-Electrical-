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non\OneDrive\Documents\UCM\ucm23-sw-lap-time-simulator-master\"/>
    </mc:Choice>
  </mc:AlternateContent>
  <xr:revisionPtr revIDLastSave="66" documentId="13_ncr:1_{0AE294BD-3A7A-40DF-A86B-57DD19F8C945}" xr6:coauthVersionLast="47" xr6:coauthVersionMax="47" xr10:uidLastSave="{9F9BD94E-51F5-4B75-83A4-BC0BA10B5387}"/>
  <bookViews>
    <workbookView minimized="1" xWindow="10657" yWindow="0" windowWidth="11251" windowHeight="15000" xr2:uid="{D4E9A8F4-1F79-46F5-AF32-8204E41DC3D9}"/>
  </bookViews>
  <sheets>
    <sheet name="Sheet1" sheetId="1" r:id="rId1"/>
  </sheets>
  <definedNames>
    <definedName name="_xlnm._FilterDatabase" localSheetId="0" hidden="1">Sheet1!$J$1:$L$105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1" i="1" l="1"/>
  <c r="K110" i="1"/>
  <c r="K109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2" i="1"/>
</calcChain>
</file>

<file path=xl/sharedStrings.xml><?xml version="1.0" encoding="utf-8"?>
<sst xmlns="http://schemas.openxmlformats.org/spreadsheetml/2006/main" count="87" uniqueCount="6">
  <si>
    <t>Seg No</t>
  </si>
  <si>
    <t>Length</t>
  </si>
  <si>
    <t>Bend Radius</t>
  </si>
  <si>
    <t>Bend Length</t>
  </si>
  <si>
    <t>Bend Angle (Rad)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</si>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</sst>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E2AC5-AC32-4CD2-A9BD-239900B77F6F}">
  <dimension ref="A1:L111"/>
  <sheetViews>
    <sheetView tabSelected="1" workbookViewId="0">
      <pane ySplit="1" topLeftCell="F87" activePane="bottomLeft" state="frozen"/>
      <selection pane="bottomLeft" activeCell="N109" sqref="N109"/>
    </sheetView>
  </sheetViews>
  <sheetFormatPr defaultRowHeight="14.25"/>
  <cols>
    <col min="3" max="3" width="10.42578125" bestFit="1" customWidth="1"/>
    <col min="4" max="4" width="10.5703125" bestFit="1" customWidth="1"/>
    <col min="5" max="5" width="20" customWidth="1"/>
    <col min="11" max="11" width="13.85546875" customWidth="1"/>
    <col min="12" max="12" width="11.4257812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2">
      <c r="A2">
        <v>1</v>
      </c>
      <c r="B2">
        <v>0</v>
      </c>
      <c r="C2">
        <v>4.0430000000000001</v>
      </c>
      <c r="D2">
        <v>13.407</v>
      </c>
      <c r="E2">
        <f>(D2/C2)*180/PI()</f>
        <v>189.99864356465363</v>
      </c>
      <c r="J2">
        <v>10.112</v>
      </c>
      <c r="K2">
        <v>0</v>
      </c>
      <c r="L2">
        <v>0</v>
      </c>
    </row>
    <row r="3" spans="1:12">
      <c r="A3">
        <v>2</v>
      </c>
      <c r="B3">
        <v>10.112</v>
      </c>
      <c r="C3">
        <v>0</v>
      </c>
      <c r="D3">
        <v>0</v>
      </c>
      <c r="E3" t="e">
        <f t="shared" ref="E3:E66" si="0">(D3/C3)*180/PI()</f>
        <v>#DIV/0!</v>
      </c>
      <c r="J3">
        <v>19.251999999999999</v>
      </c>
      <c r="K3">
        <v>0</v>
      </c>
      <c r="L3">
        <v>0</v>
      </c>
    </row>
    <row r="4" spans="1:12">
      <c r="A4">
        <v>3</v>
      </c>
      <c r="B4">
        <v>0</v>
      </c>
      <c r="C4">
        <v>6.5540000000000003</v>
      </c>
      <c r="D4">
        <v>6.726</v>
      </c>
      <c r="E4">
        <f t="shared" si="0"/>
        <v>58.799422185686865</v>
      </c>
      <c r="J4">
        <v>9.5609999999999999</v>
      </c>
      <c r="K4">
        <v>0</v>
      </c>
      <c r="L4">
        <v>0</v>
      </c>
    </row>
    <row r="5" spans="1:12">
      <c r="A5">
        <v>4</v>
      </c>
      <c r="B5">
        <v>19.251999999999999</v>
      </c>
      <c r="C5">
        <v>0</v>
      </c>
      <c r="D5">
        <v>0</v>
      </c>
      <c r="E5" t="e">
        <f t="shared" si="0"/>
        <v>#DIV/0!</v>
      </c>
      <c r="J5">
        <v>8.7810000000000006</v>
      </c>
      <c r="K5">
        <v>0</v>
      </c>
      <c r="L5">
        <v>0</v>
      </c>
    </row>
    <row r="6" spans="1:12">
      <c r="A6">
        <v>5</v>
      </c>
      <c r="B6">
        <v>0</v>
      </c>
      <c r="C6">
        <v>12.804</v>
      </c>
      <c r="D6">
        <v>6.2990000000000004</v>
      </c>
      <c r="E6">
        <f t="shared" si="0"/>
        <v>28.186981814503714</v>
      </c>
      <c r="J6">
        <v>52.904000000000003</v>
      </c>
      <c r="K6">
        <v>0</v>
      </c>
      <c r="L6">
        <v>0</v>
      </c>
    </row>
    <row r="7" spans="1:12">
      <c r="A7">
        <v>6</v>
      </c>
      <c r="B7">
        <v>0</v>
      </c>
      <c r="C7">
        <v>6.8540000000000001</v>
      </c>
      <c r="D7">
        <v>4.7619999999999996</v>
      </c>
      <c r="E7">
        <f t="shared" si="0"/>
        <v>39.807776778712871</v>
      </c>
      <c r="J7">
        <v>14.109</v>
      </c>
      <c r="K7">
        <v>0</v>
      </c>
      <c r="L7">
        <v>0</v>
      </c>
    </row>
    <row r="8" spans="1:12">
      <c r="A8">
        <v>7</v>
      </c>
      <c r="B8">
        <v>9.5609999999999999</v>
      </c>
      <c r="C8">
        <v>0</v>
      </c>
      <c r="D8">
        <v>0</v>
      </c>
      <c r="E8" t="e">
        <f t="shared" si="0"/>
        <v>#DIV/0!</v>
      </c>
      <c r="J8">
        <v>11.167</v>
      </c>
      <c r="K8">
        <v>0</v>
      </c>
      <c r="L8">
        <v>0</v>
      </c>
    </row>
    <row r="9" spans="1:12">
      <c r="A9">
        <v>8</v>
      </c>
      <c r="B9">
        <v>0</v>
      </c>
      <c r="C9">
        <v>4.7270000000000003</v>
      </c>
      <c r="D9">
        <v>3.7589999999999999</v>
      </c>
      <c r="E9">
        <f t="shared" si="0"/>
        <v>45.562689906849251</v>
      </c>
      <c r="J9">
        <v>18.914999999999999</v>
      </c>
      <c r="K9">
        <v>0</v>
      </c>
      <c r="L9">
        <v>0</v>
      </c>
    </row>
    <row r="10" spans="1:12">
      <c r="A10">
        <v>9</v>
      </c>
      <c r="B10">
        <v>0</v>
      </c>
      <c r="C10">
        <v>5.8650000000000002</v>
      </c>
      <c r="D10">
        <v>3.0449999999999999</v>
      </c>
      <c r="E10">
        <f t="shared" si="0"/>
        <v>29.746913660244783</v>
      </c>
      <c r="J10">
        <v>16.035</v>
      </c>
      <c r="K10">
        <v>0</v>
      </c>
      <c r="L10">
        <v>0</v>
      </c>
    </row>
    <row r="11" spans="1:12">
      <c r="A11">
        <v>10</v>
      </c>
      <c r="B11">
        <v>8.7810000000000006</v>
      </c>
      <c r="C11">
        <v>0</v>
      </c>
      <c r="D11">
        <v>0</v>
      </c>
      <c r="E11" t="e">
        <f t="shared" si="0"/>
        <v>#DIV/0!</v>
      </c>
      <c r="J11">
        <v>6.1260000000000003</v>
      </c>
      <c r="K11">
        <v>0</v>
      </c>
      <c r="L11">
        <v>0</v>
      </c>
    </row>
    <row r="12" spans="1:12">
      <c r="A12">
        <v>11</v>
      </c>
      <c r="B12">
        <v>0</v>
      </c>
      <c r="C12">
        <v>9.0120000000000005</v>
      </c>
      <c r="D12">
        <v>16.617000000000001</v>
      </c>
      <c r="E12">
        <f t="shared" si="0"/>
        <v>105.64624591310353</v>
      </c>
      <c r="J12">
        <v>12.869</v>
      </c>
      <c r="K12">
        <v>0</v>
      </c>
      <c r="L12">
        <v>0</v>
      </c>
    </row>
    <row r="13" spans="1:12">
      <c r="A13">
        <v>12</v>
      </c>
      <c r="B13">
        <v>0</v>
      </c>
      <c r="C13">
        <v>6.8029999999999999</v>
      </c>
      <c r="D13">
        <v>20.957000000000001</v>
      </c>
      <c r="E13">
        <f t="shared" si="0"/>
        <v>176.50266812518981</v>
      </c>
      <c r="J13">
        <v>18.738</v>
      </c>
      <c r="K13">
        <v>0</v>
      </c>
      <c r="L13">
        <v>0</v>
      </c>
    </row>
    <row r="14" spans="1:12">
      <c r="A14">
        <v>13</v>
      </c>
      <c r="B14">
        <v>0</v>
      </c>
      <c r="C14">
        <v>12.378</v>
      </c>
      <c r="D14">
        <v>18.856999999999999</v>
      </c>
      <c r="E14">
        <f t="shared" si="0"/>
        <v>87.286032822604085</v>
      </c>
      <c r="J14">
        <v>69.536000000000001</v>
      </c>
      <c r="K14">
        <v>0</v>
      </c>
      <c r="L14">
        <v>0</v>
      </c>
    </row>
    <row r="15" spans="1:12">
      <c r="A15">
        <v>14</v>
      </c>
      <c r="B15">
        <v>52.904000000000003</v>
      </c>
      <c r="C15">
        <v>0</v>
      </c>
      <c r="D15">
        <v>0</v>
      </c>
      <c r="E15" t="e">
        <f t="shared" si="0"/>
        <v>#DIV/0!</v>
      </c>
      <c r="J15">
        <v>17.079000000000001</v>
      </c>
      <c r="K15">
        <v>0</v>
      </c>
      <c r="L15">
        <v>0</v>
      </c>
    </row>
    <row r="16" spans="1:12">
      <c r="A16">
        <v>15</v>
      </c>
      <c r="B16">
        <v>0</v>
      </c>
      <c r="C16">
        <v>12.702</v>
      </c>
      <c r="D16">
        <v>18.751000000000001</v>
      </c>
      <c r="E16">
        <f t="shared" si="0"/>
        <v>84.58141722955493</v>
      </c>
      <c r="J16">
        <v>9.6419999999999995</v>
      </c>
      <c r="K16">
        <v>0</v>
      </c>
      <c r="L16">
        <v>0</v>
      </c>
    </row>
    <row r="17" spans="1:12">
      <c r="A17">
        <v>16</v>
      </c>
      <c r="B17">
        <v>0</v>
      </c>
      <c r="C17">
        <v>4.2649999999999997</v>
      </c>
      <c r="D17">
        <v>13.061999999999999</v>
      </c>
      <c r="E17">
        <f t="shared" si="0"/>
        <v>175.47420211017149</v>
      </c>
      <c r="J17">
        <v>30.434000000000001</v>
      </c>
      <c r="K17">
        <v>0</v>
      </c>
      <c r="L17">
        <v>0</v>
      </c>
    </row>
    <row r="18" spans="1:12">
      <c r="A18">
        <v>17</v>
      </c>
      <c r="B18">
        <v>0</v>
      </c>
      <c r="C18">
        <v>8.6750000000000007</v>
      </c>
      <c r="D18">
        <v>16.475999999999999</v>
      </c>
      <c r="E18">
        <f t="shared" si="0"/>
        <v>108.81905051960163</v>
      </c>
      <c r="J18">
        <v>9.8699999999999992</v>
      </c>
      <c r="K18">
        <v>0</v>
      </c>
      <c r="L18">
        <v>0</v>
      </c>
    </row>
    <row r="19" spans="1:12">
      <c r="A19">
        <v>18</v>
      </c>
      <c r="B19">
        <v>0</v>
      </c>
      <c r="C19">
        <v>13.173</v>
      </c>
      <c r="D19">
        <v>5.1950000000000003</v>
      </c>
      <c r="E19">
        <f t="shared" si="0"/>
        <v>22.595579941582226</v>
      </c>
      <c r="J19">
        <v>35.335999999999999</v>
      </c>
      <c r="K19">
        <v>0</v>
      </c>
      <c r="L19">
        <v>0</v>
      </c>
    </row>
    <row r="20" spans="1:12">
      <c r="A20">
        <v>19</v>
      </c>
      <c r="B20">
        <v>14.109</v>
      </c>
      <c r="C20">
        <v>0</v>
      </c>
      <c r="D20">
        <v>0</v>
      </c>
      <c r="E20" t="e">
        <f t="shared" si="0"/>
        <v>#DIV/0!</v>
      </c>
      <c r="J20">
        <v>10.975</v>
      </c>
      <c r="K20">
        <v>0</v>
      </c>
      <c r="L20">
        <v>0</v>
      </c>
    </row>
    <row r="21" spans="1:12">
      <c r="A21">
        <v>20</v>
      </c>
      <c r="B21">
        <v>0</v>
      </c>
      <c r="C21">
        <v>6.6429999999999998</v>
      </c>
      <c r="D21">
        <v>4.4210000000000003</v>
      </c>
      <c r="E21">
        <f t="shared" si="0"/>
        <v>38.131061452256063</v>
      </c>
      <c r="J21">
        <v>6.6459999999999999</v>
      </c>
      <c r="K21">
        <v>0</v>
      </c>
      <c r="L21">
        <v>0</v>
      </c>
    </row>
    <row r="22" spans="1:12">
      <c r="A22">
        <v>21</v>
      </c>
      <c r="B22">
        <v>0</v>
      </c>
      <c r="C22">
        <v>10.215</v>
      </c>
      <c r="D22">
        <v>6.9749999999999996</v>
      </c>
      <c r="E22">
        <f t="shared" si="0"/>
        <v>39.122668830518762</v>
      </c>
      <c r="J22">
        <v>13.058</v>
      </c>
      <c r="K22">
        <v>0</v>
      </c>
      <c r="L22">
        <v>0</v>
      </c>
    </row>
    <row r="23" spans="1:12">
      <c r="A23">
        <v>22</v>
      </c>
      <c r="B23">
        <v>11.167</v>
      </c>
      <c r="C23">
        <v>0</v>
      </c>
      <c r="D23">
        <v>0</v>
      </c>
      <c r="E23" t="e">
        <f t="shared" si="0"/>
        <v>#DIV/0!</v>
      </c>
      <c r="J23">
        <v>8.9090000000000007</v>
      </c>
      <c r="K23">
        <v>0</v>
      </c>
      <c r="L23">
        <v>0</v>
      </c>
    </row>
    <row r="24" spans="1:12">
      <c r="A24">
        <v>23</v>
      </c>
      <c r="B24">
        <v>0</v>
      </c>
      <c r="C24">
        <v>11.44</v>
      </c>
      <c r="D24">
        <v>5.4589999999999996</v>
      </c>
      <c r="E24">
        <f t="shared" si="0"/>
        <v>27.340704577090595</v>
      </c>
      <c r="J24" t="s">
        <v>5</v>
      </c>
      <c r="K24" s="1">
        <v>4.0430000000000001</v>
      </c>
      <c r="L24" s="1">
        <v>189.99864356465363</v>
      </c>
    </row>
    <row r="25" spans="1:12">
      <c r="A25">
        <v>24</v>
      </c>
      <c r="B25">
        <v>0</v>
      </c>
      <c r="C25">
        <v>9.2270000000000003</v>
      </c>
      <c r="D25">
        <v>11.577999999999999</v>
      </c>
      <c r="E25">
        <f t="shared" si="0"/>
        <v>71.894498233712696</v>
      </c>
      <c r="J25" t="s">
        <v>5</v>
      </c>
      <c r="K25" s="1">
        <v>4.2649999999999997</v>
      </c>
      <c r="L25" s="1">
        <v>175.47420211017149</v>
      </c>
    </row>
    <row r="26" spans="1:12">
      <c r="A26">
        <v>25</v>
      </c>
      <c r="B26">
        <v>0</v>
      </c>
      <c r="C26">
        <v>6.6520000000000001</v>
      </c>
      <c r="D26">
        <v>10.58</v>
      </c>
      <c r="E26">
        <f t="shared" si="0"/>
        <v>91.128885635660097</v>
      </c>
      <c r="J26" t="s">
        <v>5</v>
      </c>
      <c r="K26" s="1">
        <v>4.3570000000000002</v>
      </c>
      <c r="L26" s="1">
        <v>117.9448809852732</v>
      </c>
    </row>
    <row r="27" spans="1:12">
      <c r="A27">
        <v>26</v>
      </c>
      <c r="B27">
        <v>0</v>
      </c>
      <c r="C27">
        <v>15.105</v>
      </c>
      <c r="D27">
        <v>26.382000000000001</v>
      </c>
      <c r="E27">
        <f t="shared" si="0"/>
        <v>100.0713177831273</v>
      </c>
      <c r="J27" t="s">
        <v>5</v>
      </c>
      <c r="K27" s="1">
        <v>4.5860000000000003</v>
      </c>
      <c r="L27" s="1">
        <v>163.89141640920494</v>
      </c>
    </row>
    <row r="28" spans="1:12">
      <c r="A28">
        <v>27</v>
      </c>
      <c r="B28">
        <v>0</v>
      </c>
      <c r="C28">
        <v>9.9049999999999994</v>
      </c>
      <c r="D28">
        <v>8.7780000000000005</v>
      </c>
      <c r="E28">
        <f t="shared" si="0"/>
        <v>50.77661308085176</v>
      </c>
      <c r="J28" t="s">
        <v>5</v>
      </c>
      <c r="K28" s="1">
        <v>4.7270000000000003</v>
      </c>
      <c r="L28" s="1">
        <v>45.562689906849251</v>
      </c>
    </row>
    <row r="29" spans="1:12">
      <c r="A29">
        <v>28</v>
      </c>
      <c r="B29">
        <v>18.914999999999999</v>
      </c>
      <c r="C29">
        <v>0</v>
      </c>
      <c r="D29">
        <v>0</v>
      </c>
      <c r="E29" t="e">
        <f t="shared" si="0"/>
        <v>#DIV/0!</v>
      </c>
      <c r="J29" t="s">
        <v>5</v>
      </c>
      <c r="K29" s="1">
        <v>4.7750000000000004</v>
      </c>
      <c r="L29" s="1">
        <v>90.425339143578711</v>
      </c>
    </row>
    <row r="30" spans="1:12">
      <c r="A30">
        <v>29</v>
      </c>
      <c r="B30">
        <v>0</v>
      </c>
      <c r="C30">
        <v>10.94</v>
      </c>
      <c r="D30">
        <v>5.4219999999999997</v>
      </c>
      <c r="E30">
        <f t="shared" si="0"/>
        <v>28.396500595971879</v>
      </c>
      <c r="J30" t="s">
        <v>5</v>
      </c>
      <c r="K30" s="1">
        <v>4.859</v>
      </c>
      <c r="L30" s="1">
        <v>79.263681804268245</v>
      </c>
    </row>
    <row r="31" spans="1:12">
      <c r="A31">
        <v>30</v>
      </c>
      <c r="B31">
        <v>16.035</v>
      </c>
      <c r="C31">
        <v>0</v>
      </c>
      <c r="D31">
        <v>0</v>
      </c>
      <c r="E31" t="e">
        <f t="shared" si="0"/>
        <v>#DIV/0!</v>
      </c>
      <c r="J31" t="s">
        <v>5</v>
      </c>
      <c r="K31" s="1">
        <v>5.327</v>
      </c>
      <c r="L31" s="1">
        <v>9.5833564006300644</v>
      </c>
    </row>
    <row r="32" spans="1:12">
      <c r="A32">
        <v>31</v>
      </c>
      <c r="B32">
        <v>0</v>
      </c>
      <c r="C32">
        <v>10.266</v>
      </c>
      <c r="D32">
        <v>15.622999999999999</v>
      </c>
      <c r="E32">
        <f t="shared" si="0"/>
        <v>87.193840184383888</v>
      </c>
      <c r="J32" t="s">
        <v>5</v>
      </c>
      <c r="K32" s="1">
        <v>5.343</v>
      </c>
      <c r="L32" s="1">
        <v>45.499905011044042</v>
      </c>
    </row>
    <row r="33" spans="1:12">
      <c r="A33">
        <v>32</v>
      </c>
      <c r="B33">
        <v>0</v>
      </c>
      <c r="C33">
        <v>6.2789999999999999</v>
      </c>
      <c r="D33">
        <v>12.176</v>
      </c>
      <c r="E33">
        <f t="shared" si="0"/>
        <v>111.10581483537035</v>
      </c>
      <c r="J33" t="s">
        <v>5</v>
      </c>
      <c r="K33" s="1">
        <v>5.4169999999999998</v>
      </c>
      <c r="L33" s="1">
        <v>47.395678050234793</v>
      </c>
    </row>
    <row r="34" spans="1:12">
      <c r="A34">
        <v>33</v>
      </c>
      <c r="B34">
        <v>0</v>
      </c>
      <c r="C34">
        <v>6.8689999999999998</v>
      </c>
      <c r="D34">
        <v>8.8520000000000003</v>
      </c>
      <c r="E34">
        <f t="shared" si="0"/>
        <v>73.836401259252398</v>
      </c>
      <c r="J34" t="s">
        <v>5</v>
      </c>
      <c r="K34" s="1">
        <v>5.625</v>
      </c>
      <c r="L34" s="1">
        <v>50.114708480776002</v>
      </c>
    </row>
    <row r="35" spans="1:12">
      <c r="A35">
        <v>34</v>
      </c>
      <c r="B35">
        <v>6.1260000000000003</v>
      </c>
      <c r="C35">
        <v>0</v>
      </c>
      <c r="D35">
        <v>0</v>
      </c>
      <c r="E35" t="e">
        <f t="shared" si="0"/>
        <v>#DIV/0!</v>
      </c>
      <c r="J35" t="s">
        <v>5</v>
      </c>
      <c r="K35" s="1">
        <v>5.6639999999999997</v>
      </c>
      <c r="L35" s="1">
        <v>104.43531562377507</v>
      </c>
    </row>
    <row r="36" spans="1:12">
      <c r="A36">
        <v>35</v>
      </c>
      <c r="B36">
        <v>0</v>
      </c>
      <c r="C36">
        <v>6.0389999999999997</v>
      </c>
      <c r="D36">
        <v>8.1660000000000004</v>
      </c>
      <c r="E36">
        <f t="shared" si="0"/>
        <v>77.475962163243977</v>
      </c>
      <c r="J36" t="s">
        <v>5</v>
      </c>
      <c r="K36" s="1">
        <v>5.8650000000000002</v>
      </c>
      <c r="L36" s="1">
        <v>29.746913660244783</v>
      </c>
    </row>
    <row r="37" spans="1:12">
      <c r="A37">
        <v>36</v>
      </c>
      <c r="B37">
        <v>0</v>
      </c>
      <c r="C37">
        <v>4.3570000000000002</v>
      </c>
      <c r="D37">
        <v>8.9689999999999994</v>
      </c>
      <c r="E37">
        <f t="shared" si="0"/>
        <v>117.9448809852732</v>
      </c>
      <c r="J37" t="s">
        <v>5</v>
      </c>
      <c r="K37" s="1">
        <v>6.0389999999999997</v>
      </c>
      <c r="L37" s="1">
        <v>77.475962163243977</v>
      </c>
    </row>
    <row r="38" spans="1:12">
      <c r="A38">
        <v>37</v>
      </c>
      <c r="B38">
        <v>0</v>
      </c>
      <c r="C38">
        <v>7.335</v>
      </c>
      <c r="D38">
        <v>12.61</v>
      </c>
      <c r="E38">
        <f t="shared" si="0"/>
        <v>98.500310792088342</v>
      </c>
      <c r="J38" t="s">
        <v>5</v>
      </c>
      <c r="K38" s="1">
        <v>6.0389999999999997</v>
      </c>
      <c r="L38" s="1">
        <v>78.709353674537326</v>
      </c>
    </row>
    <row r="39" spans="1:12">
      <c r="A39">
        <v>38</v>
      </c>
      <c r="B39">
        <v>0</v>
      </c>
      <c r="C39">
        <v>8.4969999999999999</v>
      </c>
      <c r="D39">
        <v>18.163</v>
      </c>
      <c r="E39">
        <f t="shared" si="0"/>
        <v>122.47419598636156</v>
      </c>
      <c r="J39" t="s">
        <v>5</v>
      </c>
      <c r="K39" s="1">
        <v>6.2789999999999999</v>
      </c>
      <c r="L39" s="1">
        <v>111.10581483537035</v>
      </c>
    </row>
    <row r="40" spans="1:12">
      <c r="A40">
        <v>39</v>
      </c>
      <c r="B40">
        <v>0</v>
      </c>
      <c r="C40">
        <v>5.625</v>
      </c>
      <c r="D40">
        <v>4.92</v>
      </c>
      <c r="E40">
        <f t="shared" si="0"/>
        <v>50.114708480776002</v>
      </c>
      <c r="J40" t="s">
        <v>5</v>
      </c>
      <c r="K40" s="1">
        <v>6.3970000000000002</v>
      </c>
      <c r="L40" s="1">
        <v>66.995846609012943</v>
      </c>
    </row>
    <row r="41" spans="1:12">
      <c r="A41">
        <v>40</v>
      </c>
      <c r="B41">
        <v>12.869</v>
      </c>
      <c r="C41">
        <v>0</v>
      </c>
      <c r="D41">
        <v>0</v>
      </c>
      <c r="E41" t="e">
        <f t="shared" si="0"/>
        <v>#DIV/0!</v>
      </c>
      <c r="J41" t="s">
        <v>5</v>
      </c>
      <c r="K41" s="1">
        <v>6.5540000000000003</v>
      </c>
      <c r="L41" s="1">
        <v>58.799422185686865</v>
      </c>
    </row>
    <row r="42" spans="1:12">
      <c r="A42">
        <v>41</v>
      </c>
      <c r="B42">
        <v>0</v>
      </c>
      <c r="C42">
        <v>5.4169999999999998</v>
      </c>
      <c r="D42">
        <v>4.4809999999999999</v>
      </c>
      <c r="E42">
        <f t="shared" si="0"/>
        <v>47.395678050234793</v>
      </c>
      <c r="J42" t="s">
        <v>5</v>
      </c>
      <c r="K42" s="1">
        <v>6.6429999999999998</v>
      </c>
      <c r="L42" s="1">
        <v>38.131061452256063</v>
      </c>
    </row>
    <row r="43" spans="1:12">
      <c r="A43">
        <v>42</v>
      </c>
      <c r="B43">
        <v>18.738</v>
      </c>
      <c r="C43">
        <v>0</v>
      </c>
      <c r="D43">
        <v>0</v>
      </c>
      <c r="E43" t="e">
        <f t="shared" si="0"/>
        <v>#DIV/0!</v>
      </c>
      <c r="J43" t="s">
        <v>5</v>
      </c>
      <c r="K43" s="1">
        <v>6.6520000000000001</v>
      </c>
      <c r="L43" s="1">
        <v>91.128885635660097</v>
      </c>
    </row>
    <row r="44" spans="1:12">
      <c r="A44">
        <v>43</v>
      </c>
      <c r="B44">
        <v>0</v>
      </c>
      <c r="C44">
        <v>22.968</v>
      </c>
      <c r="D44">
        <v>2.601</v>
      </c>
      <c r="E44">
        <f t="shared" si="0"/>
        <v>6.488432711316924</v>
      </c>
      <c r="J44" t="s">
        <v>5</v>
      </c>
      <c r="K44" s="1">
        <v>6.68</v>
      </c>
      <c r="L44" s="1">
        <v>84.451234294282727</v>
      </c>
    </row>
    <row r="45" spans="1:12">
      <c r="A45">
        <v>44</v>
      </c>
      <c r="B45">
        <v>0</v>
      </c>
      <c r="C45">
        <v>8.5340000000000007</v>
      </c>
      <c r="D45">
        <v>10.103</v>
      </c>
      <c r="E45">
        <f t="shared" si="0"/>
        <v>67.829770379736431</v>
      </c>
      <c r="J45" t="s">
        <v>5</v>
      </c>
      <c r="K45" s="1">
        <v>6.8029999999999999</v>
      </c>
      <c r="L45" s="1">
        <v>176.50266812518981</v>
      </c>
    </row>
    <row r="46" spans="1:12">
      <c r="A46">
        <v>45</v>
      </c>
      <c r="B46">
        <v>0</v>
      </c>
      <c r="C46">
        <v>11.733000000000001</v>
      </c>
      <c r="D46">
        <v>10.151999999999999</v>
      </c>
      <c r="E46">
        <f t="shared" si="0"/>
        <v>49.575279435507689</v>
      </c>
      <c r="J46" t="s">
        <v>5</v>
      </c>
      <c r="K46" s="1">
        <v>6.8540000000000001</v>
      </c>
      <c r="L46" s="1">
        <v>39.807776778712871</v>
      </c>
    </row>
    <row r="47" spans="1:12">
      <c r="A47">
        <v>46</v>
      </c>
      <c r="B47">
        <v>0</v>
      </c>
      <c r="C47">
        <v>7.6440000000000001</v>
      </c>
      <c r="D47">
        <v>12.411</v>
      </c>
      <c r="E47">
        <f t="shared" si="0"/>
        <v>93.026938714922125</v>
      </c>
      <c r="J47" t="s">
        <v>5</v>
      </c>
      <c r="K47" s="1">
        <v>6.8579999999999997</v>
      </c>
      <c r="L47" s="1">
        <v>70.830215618534837</v>
      </c>
    </row>
    <row r="48" spans="1:12">
      <c r="A48">
        <v>47</v>
      </c>
      <c r="B48">
        <v>0</v>
      </c>
      <c r="C48">
        <v>7.077</v>
      </c>
      <c r="D48">
        <v>7.4390000000000001</v>
      </c>
      <c r="E48">
        <f t="shared" si="0"/>
        <v>60.226551335003442</v>
      </c>
      <c r="J48" t="s">
        <v>5</v>
      </c>
      <c r="K48" s="1">
        <v>6.8689999999999998</v>
      </c>
      <c r="L48" s="1">
        <v>73.836401259252398</v>
      </c>
    </row>
    <row r="49" spans="1:12">
      <c r="A49">
        <v>48</v>
      </c>
      <c r="B49">
        <v>0</v>
      </c>
      <c r="C49">
        <v>8.1839999999999993</v>
      </c>
      <c r="D49">
        <v>9.6280000000000001</v>
      </c>
      <c r="E49">
        <f t="shared" si="0"/>
        <v>67.405152144667241</v>
      </c>
      <c r="J49" t="s">
        <v>5</v>
      </c>
      <c r="K49" s="1">
        <v>6.9039999999999999</v>
      </c>
      <c r="L49" s="1">
        <v>39.220720448845171</v>
      </c>
    </row>
    <row r="50" spans="1:12">
      <c r="A50">
        <v>49</v>
      </c>
      <c r="B50">
        <v>0</v>
      </c>
      <c r="C50">
        <v>10.791</v>
      </c>
      <c r="D50">
        <v>5.2510000000000003</v>
      </c>
      <c r="E50">
        <f t="shared" si="0"/>
        <v>27.880654084254964</v>
      </c>
      <c r="J50" t="s">
        <v>5</v>
      </c>
      <c r="K50" s="1">
        <v>6.9320000000000004</v>
      </c>
      <c r="L50" s="1">
        <v>82.348218593312041</v>
      </c>
    </row>
    <row r="51" spans="1:12">
      <c r="A51">
        <v>50</v>
      </c>
      <c r="B51">
        <v>69.536000000000001</v>
      </c>
      <c r="C51">
        <v>0</v>
      </c>
      <c r="D51">
        <v>0</v>
      </c>
      <c r="E51" t="e">
        <f t="shared" si="0"/>
        <v>#DIV/0!</v>
      </c>
      <c r="J51" t="s">
        <v>5</v>
      </c>
      <c r="K51" s="1">
        <v>7</v>
      </c>
      <c r="L51" s="1">
        <v>70.481993912450278</v>
      </c>
    </row>
    <row r="52" spans="1:12">
      <c r="A52">
        <v>51</v>
      </c>
      <c r="B52">
        <v>0</v>
      </c>
      <c r="C52">
        <v>15.676</v>
      </c>
      <c r="D52">
        <v>10.516999999999999</v>
      </c>
      <c r="E52">
        <f t="shared" si="0"/>
        <v>38.439634673327809</v>
      </c>
      <c r="J52" t="s">
        <v>5</v>
      </c>
      <c r="K52" s="1">
        <v>7.077</v>
      </c>
      <c r="L52" s="1">
        <v>60.226551335003442</v>
      </c>
    </row>
    <row r="53" spans="1:12">
      <c r="A53">
        <v>52</v>
      </c>
      <c r="B53">
        <v>0</v>
      </c>
      <c r="C53">
        <v>10.587</v>
      </c>
      <c r="D53">
        <v>14.249000000000001</v>
      </c>
      <c r="E53">
        <f t="shared" si="0"/>
        <v>77.114155311411167</v>
      </c>
      <c r="J53" t="s">
        <v>5</v>
      </c>
      <c r="K53" s="1">
        <v>7.117</v>
      </c>
      <c r="L53" s="1">
        <v>43.811104694420969</v>
      </c>
    </row>
    <row r="54" spans="1:12">
      <c r="A54">
        <v>53</v>
      </c>
      <c r="B54">
        <v>0</v>
      </c>
      <c r="C54">
        <v>7.4210000000000003</v>
      </c>
      <c r="D54">
        <v>8.3710000000000004</v>
      </c>
      <c r="E54">
        <f t="shared" si="0"/>
        <v>64.630504016171955</v>
      </c>
      <c r="J54" t="s">
        <v>5</v>
      </c>
      <c r="K54" s="1">
        <v>7.335</v>
      </c>
      <c r="L54" s="1">
        <v>98.500310792088342</v>
      </c>
    </row>
    <row r="55" spans="1:12">
      <c r="A55">
        <v>54</v>
      </c>
      <c r="B55">
        <v>0</v>
      </c>
      <c r="C55">
        <v>7</v>
      </c>
      <c r="D55">
        <v>8.6110000000000007</v>
      </c>
      <c r="E55">
        <f t="shared" si="0"/>
        <v>70.481993912450278</v>
      </c>
      <c r="J55" t="s">
        <v>5</v>
      </c>
      <c r="K55" s="1">
        <v>7.335</v>
      </c>
      <c r="L55" s="1">
        <v>76.308448543054027</v>
      </c>
    </row>
    <row r="56" spans="1:12">
      <c r="A56">
        <v>55</v>
      </c>
      <c r="B56">
        <v>17.079000000000001</v>
      </c>
      <c r="C56">
        <v>0</v>
      </c>
      <c r="D56">
        <v>0</v>
      </c>
      <c r="E56" t="e">
        <f t="shared" si="0"/>
        <v>#DIV/0!</v>
      </c>
      <c r="J56" t="s">
        <v>5</v>
      </c>
      <c r="K56" s="1">
        <v>7.3769999999999998</v>
      </c>
      <c r="L56" s="1">
        <v>91.019281566193825</v>
      </c>
    </row>
    <row r="57" spans="1:12">
      <c r="A57">
        <v>56</v>
      </c>
      <c r="B57">
        <v>0</v>
      </c>
      <c r="C57">
        <v>6.8579999999999997</v>
      </c>
      <c r="D57">
        <v>8.4779999999999998</v>
      </c>
      <c r="E57">
        <f t="shared" si="0"/>
        <v>70.830215618534837</v>
      </c>
      <c r="J57" t="s">
        <v>5</v>
      </c>
      <c r="K57" s="1">
        <v>7.399</v>
      </c>
      <c r="L57" s="1">
        <v>49.536572718635981</v>
      </c>
    </row>
    <row r="58" spans="1:12">
      <c r="A58">
        <v>57</v>
      </c>
      <c r="B58">
        <v>0</v>
      </c>
      <c r="C58">
        <v>7.944</v>
      </c>
      <c r="D58">
        <v>10.257999999999999</v>
      </c>
      <c r="E58">
        <f t="shared" si="0"/>
        <v>73.985411158761138</v>
      </c>
      <c r="J58" t="s">
        <v>5</v>
      </c>
      <c r="K58" s="1">
        <v>7.4059999999999997</v>
      </c>
      <c r="L58" s="1">
        <v>69.070580541830822</v>
      </c>
    </row>
    <row r="59" spans="1:12">
      <c r="A59">
        <v>58</v>
      </c>
      <c r="B59">
        <v>0</v>
      </c>
      <c r="C59">
        <v>7.399</v>
      </c>
      <c r="D59">
        <v>6.3970000000000002</v>
      </c>
      <c r="E59">
        <f t="shared" si="0"/>
        <v>49.536572718635981</v>
      </c>
      <c r="J59" t="s">
        <v>5</v>
      </c>
      <c r="K59" s="1">
        <v>7.4210000000000003</v>
      </c>
      <c r="L59" s="1">
        <v>64.630504016171955</v>
      </c>
    </row>
    <row r="60" spans="1:12">
      <c r="A60">
        <v>59</v>
      </c>
      <c r="B60">
        <v>0</v>
      </c>
      <c r="C60">
        <v>8.1460000000000008</v>
      </c>
      <c r="D60">
        <v>8.2959999999999994</v>
      </c>
      <c r="E60">
        <f t="shared" si="0"/>
        <v>58.350820874113786</v>
      </c>
      <c r="J60" t="s">
        <v>5</v>
      </c>
      <c r="K60" s="1">
        <v>7.4260000000000002</v>
      </c>
      <c r="L60" s="1">
        <v>82.710847883146045</v>
      </c>
    </row>
    <row r="61" spans="1:12">
      <c r="A61">
        <v>60</v>
      </c>
      <c r="B61">
        <v>9.6419999999999995</v>
      </c>
      <c r="C61">
        <v>0</v>
      </c>
      <c r="D61">
        <v>0</v>
      </c>
      <c r="E61" t="e">
        <f t="shared" si="0"/>
        <v>#DIV/0!</v>
      </c>
      <c r="J61" t="s">
        <v>5</v>
      </c>
      <c r="K61" s="1">
        <v>7.5019999999999998</v>
      </c>
      <c r="L61" s="1">
        <v>76.480929891229863</v>
      </c>
    </row>
    <row r="62" spans="1:12">
      <c r="A62">
        <v>61</v>
      </c>
      <c r="B62">
        <v>0</v>
      </c>
      <c r="C62">
        <v>9.5389999999999997</v>
      </c>
      <c r="D62">
        <v>10.365</v>
      </c>
      <c r="E62">
        <f t="shared" si="0"/>
        <v>62.257129117632701</v>
      </c>
      <c r="J62" t="s">
        <v>5</v>
      </c>
      <c r="K62" s="1">
        <v>7.5309999999999997</v>
      </c>
      <c r="L62" s="1">
        <v>83.124908638950686</v>
      </c>
    </row>
    <row r="63" spans="1:12">
      <c r="A63">
        <v>62</v>
      </c>
      <c r="B63">
        <v>0</v>
      </c>
      <c r="C63">
        <v>8.9009999999999998</v>
      </c>
      <c r="D63">
        <v>10.218999999999999</v>
      </c>
      <c r="E63">
        <f t="shared" si="0"/>
        <v>65.779751808132602</v>
      </c>
      <c r="J63" t="s">
        <v>5</v>
      </c>
      <c r="K63" s="1">
        <v>7.6440000000000001</v>
      </c>
      <c r="L63" s="1">
        <v>93.026938714922125</v>
      </c>
    </row>
    <row r="64" spans="1:12">
      <c r="A64">
        <v>63</v>
      </c>
      <c r="B64">
        <v>0</v>
      </c>
      <c r="C64">
        <v>6.68</v>
      </c>
      <c r="D64">
        <v>9.8460000000000001</v>
      </c>
      <c r="E64">
        <f t="shared" si="0"/>
        <v>84.451234294282727</v>
      </c>
      <c r="J64" t="s">
        <v>5</v>
      </c>
      <c r="K64" s="1">
        <v>7.6660000000000004</v>
      </c>
      <c r="L64" s="1">
        <v>47.557141278599374</v>
      </c>
    </row>
    <row r="65" spans="1:12">
      <c r="A65">
        <v>64</v>
      </c>
      <c r="B65">
        <v>0</v>
      </c>
      <c r="C65">
        <v>4.7750000000000004</v>
      </c>
      <c r="D65">
        <v>7.5359999999999996</v>
      </c>
      <c r="E65">
        <f t="shared" si="0"/>
        <v>90.425339143578711</v>
      </c>
      <c r="J65" t="s">
        <v>5</v>
      </c>
      <c r="K65" s="1">
        <v>7.6959999999999997</v>
      </c>
      <c r="L65" s="1">
        <v>58.695416538609798</v>
      </c>
    </row>
    <row r="66" spans="1:12">
      <c r="A66">
        <v>65</v>
      </c>
      <c r="B66">
        <v>0</v>
      </c>
      <c r="C66">
        <v>6.9320000000000004</v>
      </c>
      <c r="D66">
        <v>9.9629999999999992</v>
      </c>
      <c r="E66">
        <f t="shared" si="0"/>
        <v>82.348218593312041</v>
      </c>
      <c r="J66" t="s">
        <v>5</v>
      </c>
      <c r="K66" s="1">
        <v>7.7969999999999997</v>
      </c>
      <c r="L66" s="1">
        <v>81.472144088950074</v>
      </c>
    </row>
    <row r="67" spans="1:12">
      <c r="A67">
        <v>66</v>
      </c>
      <c r="B67">
        <v>0</v>
      </c>
      <c r="C67">
        <v>7.5019999999999998</v>
      </c>
      <c r="D67">
        <v>10.013999999999999</v>
      </c>
      <c r="E67">
        <f t="shared" ref="E67:E105" si="1">(D67/C67)*180/PI()</f>
        <v>76.480929891229863</v>
      </c>
      <c r="J67" t="s">
        <v>5</v>
      </c>
      <c r="K67" s="1">
        <v>7.944</v>
      </c>
      <c r="L67" s="1">
        <v>73.985411158761138</v>
      </c>
    </row>
    <row r="68" spans="1:12">
      <c r="A68">
        <v>67</v>
      </c>
      <c r="B68">
        <v>0</v>
      </c>
      <c r="C68">
        <v>7.5309999999999997</v>
      </c>
      <c r="D68">
        <v>10.926</v>
      </c>
      <c r="E68">
        <f t="shared" si="1"/>
        <v>83.124908638950686</v>
      </c>
      <c r="J68" t="s">
        <v>5</v>
      </c>
      <c r="K68" s="1">
        <v>8.0449999999999999</v>
      </c>
      <c r="L68" s="1">
        <v>43.635952899522103</v>
      </c>
    </row>
    <row r="69" spans="1:12">
      <c r="A69">
        <v>68</v>
      </c>
      <c r="B69">
        <v>0</v>
      </c>
      <c r="C69">
        <v>5.343</v>
      </c>
      <c r="D69">
        <v>4.2430000000000003</v>
      </c>
      <c r="E69">
        <f t="shared" si="1"/>
        <v>45.499905011044042</v>
      </c>
      <c r="J69" t="s">
        <v>5</v>
      </c>
      <c r="K69" s="1">
        <v>8.1460000000000008</v>
      </c>
      <c r="L69" s="1">
        <v>58.350820874113786</v>
      </c>
    </row>
    <row r="70" spans="1:12">
      <c r="A70">
        <v>69</v>
      </c>
      <c r="B70">
        <v>30.434000000000001</v>
      </c>
      <c r="C70">
        <v>0</v>
      </c>
      <c r="D70">
        <v>0</v>
      </c>
      <c r="E70" t="e">
        <f t="shared" si="1"/>
        <v>#DIV/0!</v>
      </c>
      <c r="J70" t="s">
        <v>5</v>
      </c>
      <c r="K70" s="1">
        <v>8.1489999999999991</v>
      </c>
      <c r="L70" s="1">
        <v>54.04041739324466</v>
      </c>
    </row>
    <row r="71" spans="1:12">
      <c r="A71">
        <v>70</v>
      </c>
      <c r="B71">
        <v>0</v>
      </c>
      <c r="C71">
        <v>7.6660000000000004</v>
      </c>
      <c r="D71">
        <v>6.3630000000000004</v>
      </c>
      <c r="E71">
        <f t="shared" si="1"/>
        <v>47.557141278599374</v>
      </c>
      <c r="J71" t="s">
        <v>5</v>
      </c>
      <c r="K71" s="1">
        <v>8.1630000000000003</v>
      </c>
      <c r="L71" s="1">
        <v>61.928293843430765</v>
      </c>
    </row>
    <row r="72" spans="1:12">
      <c r="A72">
        <v>71</v>
      </c>
      <c r="B72">
        <v>0</v>
      </c>
      <c r="C72">
        <v>7.3769999999999998</v>
      </c>
      <c r="D72">
        <v>11.718999999999999</v>
      </c>
      <c r="E72">
        <f t="shared" si="1"/>
        <v>91.019281566193825</v>
      </c>
      <c r="J72" t="s">
        <v>5</v>
      </c>
      <c r="K72" s="1">
        <v>8.1839999999999993</v>
      </c>
      <c r="L72" s="1">
        <v>67.405152144667241</v>
      </c>
    </row>
    <row r="73" spans="1:12">
      <c r="A73">
        <v>72</v>
      </c>
      <c r="B73">
        <v>0</v>
      </c>
      <c r="C73">
        <v>7.7969999999999997</v>
      </c>
      <c r="D73">
        <v>11.087</v>
      </c>
      <c r="E73">
        <f t="shared" si="1"/>
        <v>81.472144088950074</v>
      </c>
      <c r="J73" t="s">
        <v>5</v>
      </c>
      <c r="K73" s="1">
        <v>8.2129999999999992</v>
      </c>
      <c r="L73" s="1">
        <v>80.387101829933968</v>
      </c>
    </row>
    <row r="74" spans="1:12">
      <c r="A74">
        <v>73</v>
      </c>
      <c r="B74">
        <v>0</v>
      </c>
      <c r="C74">
        <v>6.0389999999999997</v>
      </c>
      <c r="D74">
        <v>8.2959999999999994</v>
      </c>
      <c r="E74">
        <f t="shared" si="1"/>
        <v>78.709353674537326</v>
      </c>
      <c r="J74" t="s">
        <v>5</v>
      </c>
      <c r="K74" s="1">
        <v>8.3699999999999992</v>
      </c>
      <c r="L74" s="1">
        <v>70.226690803430301</v>
      </c>
    </row>
    <row r="75" spans="1:12">
      <c r="A75">
        <v>74</v>
      </c>
      <c r="B75">
        <v>0</v>
      </c>
      <c r="C75">
        <v>8.2129999999999992</v>
      </c>
      <c r="D75">
        <v>11.523</v>
      </c>
      <c r="E75">
        <f t="shared" si="1"/>
        <v>80.387101829933968</v>
      </c>
      <c r="J75" t="s">
        <v>5</v>
      </c>
      <c r="K75" s="1">
        <v>8.4969999999999999</v>
      </c>
      <c r="L75" s="1">
        <v>122.47419598636156</v>
      </c>
    </row>
    <row r="76" spans="1:12">
      <c r="A76">
        <v>75</v>
      </c>
      <c r="B76">
        <v>0</v>
      </c>
      <c r="C76">
        <v>6.9039999999999999</v>
      </c>
      <c r="D76">
        <v>4.726</v>
      </c>
      <c r="E76">
        <f t="shared" si="1"/>
        <v>39.220720448845171</v>
      </c>
      <c r="J76" t="s">
        <v>5</v>
      </c>
      <c r="K76" s="1">
        <v>8.5229999999999997</v>
      </c>
      <c r="L76" s="1">
        <v>60.045277790783921</v>
      </c>
    </row>
    <row r="77" spans="1:12">
      <c r="A77">
        <v>76</v>
      </c>
      <c r="B77">
        <v>9.8699999999999992</v>
      </c>
      <c r="C77">
        <v>0</v>
      </c>
      <c r="D77">
        <v>0</v>
      </c>
      <c r="E77" t="e">
        <f t="shared" si="1"/>
        <v>#DIV/0!</v>
      </c>
      <c r="J77" t="s">
        <v>5</v>
      </c>
      <c r="K77" s="1">
        <v>8.5340000000000007</v>
      </c>
      <c r="L77" s="1">
        <v>67.829770379736431</v>
      </c>
    </row>
    <row r="78" spans="1:12">
      <c r="A78">
        <v>77</v>
      </c>
      <c r="B78">
        <v>0</v>
      </c>
      <c r="C78">
        <v>5.327</v>
      </c>
      <c r="D78">
        <v>0.89100000000000001</v>
      </c>
      <c r="E78">
        <f t="shared" si="1"/>
        <v>9.5833564006300644</v>
      </c>
      <c r="J78" t="s">
        <v>5</v>
      </c>
      <c r="K78" s="1">
        <v>8.6389999999999993</v>
      </c>
      <c r="L78" s="1">
        <v>83.347153737805939</v>
      </c>
    </row>
    <row r="79" spans="1:12">
      <c r="A79">
        <v>78</v>
      </c>
      <c r="B79">
        <v>35.335999999999999</v>
      </c>
      <c r="C79">
        <v>0</v>
      </c>
      <c r="D79">
        <v>0</v>
      </c>
      <c r="E79" t="e">
        <f t="shared" si="1"/>
        <v>#DIV/0!</v>
      </c>
      <c r="J79" t="s">
        <v>5</v>
      </c>
      <c r="K79" s="1">
        <v>8.6750000000000007</v>
      </c>
      <c r="L79" s="1">
        <v>108.81905051960163</v>
      </c>
    </row>
    <row r="80" spans="1:12">
      <c r="A80">
        <v>79</v>
      </c>
      <c r="B80">
        <v>0</v>
      </c>
      <c r="C80">
        <v>8.5229999999999997</v>
      </c>
      <c r="D80">
        <v>8.9320000000000004</v>
      </c>
      <c r="E80">
        <f t="shared" si="1"/>
        <v>60.045277790783921</v>
      </c>
      <c r="J80" t="s">
        <v>5</v>
      </c>
      <c r="K80" s="1">
        <v>8.8469999999999995</v>
      </c>
      <c r="L80" s="1">
        <v>60.423829869679906</v>
      </c>
    </row>
    <row r="81" spans="1:12">
      <c r="A81">
        <v>80</v>
      </c>
      <c r="B81">
        <v>0</v>
      </c>
      <c r="C81">
        <v>10.983000000000001</v>
      </c>
      <c r="D81">
        <v>17.873999999999999</v>
      </c>
      <c r="E81">
        <f t="shared" si="1"/>
        <v>93.244538196925561</v>
      </c>
      <c r="J81" t="s">
        <v>5</v>
      </c>
      <c r="K81" s="1">
        <v>8.9009999999999998</v>
      </c>
      <c r="L81" s="1">
        <v>65.779751808132602</v>
      </c>
    </row>
    <row r="82" spans="1:12">
      <c r="A82">
        <v>81</v>
      </c>
      <c r="B82">
        <v>0</v>
      </c>
      <c r="C82">
        <v>7.4260000000000002</v>
      </c>
      <c r="D82">
        <v>10.72</v>
      </c>
      <c r="E82">
        <f t="shared" si="1"/>
        <v>82.710847883146045</v>
      </c>
      <c r="J82" t="s">
        <v>5</v>
      </c>
      <c r="K82" s="1">
        <v>8.9429999999999996</v>
      </c>
      <c r="L82" s="1">
        <v>49.107922393802532</v>
      </c>
    </row>
    <row r="83" spans="1:12">
      <c r="A83">
        <v>82</v>
      </c>
      <c r="B83">
        <v>0</v>
      </c>
      <c r="C83">
        <v>4.859</v>
      </c>
      <c r="D83">
        <v>6.7220000000000004</v>
      </c>
      <c r="E83">
        <f t="shared" si="1"/>
        <v>79.263681804268245</v>
      </c>
      <c r="J83" t="s">
        <v>5</v>
      </c>
      <c r="K83" s="1">
        <v>9.0120000000000005</v>
      </c>
      <c r="L83" s="1">
        <v>105.64624591310353</v>
      </c>
    </row>
    <row r="84" spans="1:12">
      <c r="A84">
        <v>83</v>
      </c>
      <c r="B84">
        <v>0</v>
      </c>
      <c r="C84">
        <v>8.6389999999999993</v>
      </c>
      <c r="D84">
        <v>12.567</v>
      </c>
      <c r="E84">
        <f t="shared" si="1"/>
        <v>83.347153737805939</v>
      </c>
      <c r="J84" t="s">
        <v>5</v>
      </c>
      <c r="K84" s="1">
        <v>9.2270000000000003</v>
      </c>
      <c r="L84" s="1">
        <v>71.894498233712696</v>
      </c>
    </row>
    <row r="85" spans="1:12">
      <c r="A85">
        <v>84</v>
      </c>
      <c r="B85">
        <v>0</v>
      </c>
      <c r="C85">
        <v>7.335</v>
      </c>
      <c r="D85">
        <v>9.7690000000000001</v>
      </c>
      <c r="E85">
        <f t="shared" si="1"/>
        <v>76.308448543054027</v>
      </c>
      <c r="J85" t="s">
        <v>5</v>
      </c>
      <c r="K85" s="1">
        <v>9.5389999999999997</v>
      </c>
      <c r="L85" s="1">
        <v>62.257129117632701</v>
      </c>
    </row>
    <row r="86" spans="1:12">
      <c r="A86">
        <v>85</v>
      </c>
      <c r="B86">
        <v>0</v>
      </c>
      <c r="C86">
        <v>5.6639999999999997</v>
      </c>
      <c r="D86">
        <v>10.324</v>
      </c>
      <c r="E86">
        <f t="shared" si="1"/>
        <v>104.43531562377507</v>
      </c>
      <c r="J86" t="s">
        <v>5</v>
      </c>
      <c r="K86" s="1">
        <v>9.9049999999999994</v>
      </c>
      <c r="L86" s="1">
        <v>50.77661308085176</v>
      </c>
    </row>
    <row r="87" spans="1:12">
      <c r="A87">
        <v>86</v>
      </c>
      <c r="B87">
        <v>0</v>
      </c>
      <c r="C87">
        <v>7.6959999999999997</v>
      </c>
      <c r="D87">
        <v>7.8840000000000003</v>
      </c>
      <c r="E87">
        <f t="shared" si="1"/>
        <v>58.695416538609798</v>
      </c>
      <c r="J87" t="s">
        <v>5</v>
      </c>
      <c r="K87" s="1">
        <v>10.215</v>
      </c>
      <c r="L87" s="1">
        <v>39.122668830518762</v>
      </c>
    </row>
    <row r="88" spans="1:12">
      <c r="A88">
        <v>87</v>
      </c>
      <c r="B88">
        <v>8.9090000000000007</v>
      </c>
      <c r="C88">
        <v>0</v>
      </c>
      <c r="D88">
        <v>0</v>
      </c>
      <c r="E88" t="e">
        <f t="shared" si="1"/>
        <v>#DIV/0!</v>
      </c>
      <c r="J88" t="s">
        <v>5</v>
      </c>
      <c r="K88" s="1">
        <v>10.266</v>
      </c>
      <c r="L88" s="1">
        <v>87.193840184383888</v>
      </c>
    </row>
    <row r="89" spans="1:12">
      <c r="A89">
        <v>88</v>
      </c>
      <c r="B89">
        <v>0</v>
      </c>
      <c r="C89">
        <v>4.5860000000000003</v>
      </c>
      <c r="D89">
        <v>13.118</v>
      </c>
      <c r="E89">
        <f t="shared" si="1"/>
        <v>163.89141640920494</v>
      </c>
      <c r="J89" t="s">
        <v>5</v>
      </c>
      <c r="K89" s="1">
        <v>10.41</v>
      </c>
      <c r="L89" s="1">
        <v>23.446687869906881</v>
      </c>
    </row>
    <row r="90" spans="1:12">
      <c r="A90">
        <v>89</v>
      </c>
      <c r="B90">
        <v>10.975</v>
      </c>
      <c r="C90">
        <v>0</v>
      </c>
      <c r="D90">
        <v>0</v>
      </c>
      <c r="E90" t="e">
        <f t="shared" si="1"/>
        <v>#DIV/0!</v>
      </c>
      <c r="J90" t="s">
        <v>5</v>
      </c>
      <c r="K90" s="1">
        <v>10.587</v>
      </c>
      <c r="L90" s="1">
        <v>77.114155311411167</v>
      </c>
    </row>
    <row r="91" spans="1:12">
      <c r="A91">
        <v>90</v>
      </c>
      <c r="B91">
        <v>0</v>
      </c>
      <c r="C91">
        <v>8.1489999999999991</v>
      </c>
      <c r="D91">
        <v>7.6859999999999999</v>
      </c>
      <c r="E91">
        <f t="shared" si="1"/>
        <v>54.04041739324466</v>
      </c>
      <c r="J91" t="s">
        <v>5</v>
      </c>
      <c r="K91" s="1">
        <v>10.791</v>
      </c>
      <c r="L91" s="1">
        <v>27.880654084254964</v>
      </c>
    </row>
    <row r="92" spans="1:12">
      <c r="A92">
        <v>91</v>
      </c>
      <c r="B92">
        <v>0</v>
      </c>
      <c r="C92">
        <v>11.878</v>
      </c>
      <c r="D92">
        <v>11.032</v>
      </c>
      <c r="E92">
        <f t="shared" si="1"/>
        <v>53.214938507183376</v>
      </c>
      <c r="J92" t="s">
        <v>5</v>
      </c>
      <c r="K92" s="1">
        <v>10.882</v>
      </c>
      <c r="L92" s="1">
        <v>25.762566546362049</v>
      </c>
    </row>
    <row r="93" spans="1:12">
      <c r="A93">
        <v>92</v>
      </c>
      <c r="B93">
        <v>0</v>
      </c>
      <c r="C93">
        <v>12.629</v>
      </c>
      <c r="D93">
        <v>5.8470000000000004</v>
      </c>
      <c r="E93">
        <f t="shared" si="1"/>
        <v>26.526916051389058</v>
      </c>
      <c r="J93" t="s">
        <v>5</v>
      </c>
      <c r="K93" s="1">
        <v>10.94</v>
      </c>
      <c r="L93" s="1">
        <v>28.396500595971879</v>
      </c>
    </row>
    <row r="94" spans="1:12">
      <c r="A94">
        <v>93</v>
      </c>
      <c r="B94">
        <v>6.6459999999999999</v>
      </c>
      <c r="C94">
        <v>0</v>
      </c>
      <c r="D94">
        <v>0</v>
      </c>
      <c r="E94" t="e">
        <f t="shared" si="1"/>
        <v>#DIV/0!</v>
      </c>
      <c r="J94" t="s">
        <v>5</v>
      </c>
      <c r="K94" s="1">
        <v>10.983000000000001</v>
      </c>
      <c r="L94" s="1">
        <v>93.244538196925561</v>
      </c>
    </row>
    <row r="95" spans="1:12">
      <c r="A95">
        <v>94</v>
      </c>
      <c r="B95">
        <v>0</v>
      </c>
      <c r="C95">
        <v>6.3970000000000002</v>
      </c>
      <c r="D95">
        <v>7.48</v>
      </c>
      <c r="E95">
        <f t="shared" si="1"/>
        <v>66.995846609012943</v>
      </c>
      <c r="J95" t="s">
        <v>5</v>
      </c>
      <c r="K95" s="1">
        <v>11.44</v>
      </c>
      <c r="L95" s="1">
        <v>27.340704577090595</v>
      </c>
    </row>
    <row r="96" spans="1:12">
      <c r="A96">
        <v>95</v>
      </c>
      <c r="B96">
        <v>0</v>
      </c>
      <c r="C96">
        <v>10.41</v>
      </c>
      <c r="D96">
        <v>4.26</v>
      </c>
      <c r="E96">
        <f t="shared" si="1"/>
        <v>23.446687869906881</v>
      </c>
      <c r="J96" t="s">
        <v>5</v>
      </c>
      <c r="K96" s="1">
        <v>11.733000000000001</v>
      </c>
      <c r="L96" s="1">
        <v>49.575279435507689</v>
      </c>
    </row>
    <row r="97" spans="1:12">
      <c r="A97">
        <v>96</v>
      </c>
      <c r="B97">
        <v>13.058</v>
      </c>
      <c r="C97">
        <v>0</v>
      </c>
      <c r="D97">
        <v>0</v>
      </c>
      <c r="E97" t="e">
        <f t="shared" si="1"/>
        <v>#DIV/0!</v>
      </c>
      <c r="J97" t="s">
        <v>5</v>
      </c>
      <c r="K97" s="1">
        <v>11.878</v>
      </c>
      <c r="L97" s="1">
        <v>53.214938507183376</v>
      </c>
    </row>
    <row r="98" spans="1:12">
      <c r="A98">
        <v>97</v>
      </c>
      <c r="B98">
        <v>0</v>
      </c>
      <c r="C98">
        <v>10.882</v>
      </c>
      <c r="D98">
        <v>4.8929999999999998</v>
      </c>
      <c r="E98">
        <f t="shared" si="1"/>
        <v>25.762566546362049</v>
      </c>
      <c r="J98" t="s">
        <v>5</v>
      </c>
      <c r="K98" s="1">
        <v>12.378</v>
      </c>
      <c r="L98" s="1">
        <v>87.286032822604085</v>
      </c>
    </row>
    <row r="99" spans="1:12">
      <c r="A99">
        <v>98</v>
      </c>
      <c r="B99">
        <v>0</v>
      </c>
      <c r="C99">
        <v>8.3699999999999992</v>
      </c>
      <c r="D99">
        <v>10.259</v>
      </c>
      <c r="E99">
        <f t="shared" si="1"/>
        <v>70.226690803430301</v>
      </c>
      <c r="J99" t="s">
        <v>5</v>
      </c>
      <c r="K99" s="1">
        <v>12.629</v>
      </c>
      <c r="L99" s="1">
        <v>26.526916051389058</v>
      </c>
    </row>
    <row r="100" spans="1:12">
      <c r="A100">
        <v>99</v>
      </c>
      <c r="B100">
        <v>0</v>
      </c>
      <c r="C100">
        <v>8.9429999999999996</v>
      </c>
      <c r="D100">
        <v>7.665</v>
      </c>
      <c r="E100">
        <f t="shared" si="1"/>
        <v>49.107922393802532</v>
      </c>
      <c r="J100" t="s">
        <v>5</v>
      </c>
      <c r="K100" s="1">
        <v>12.702</v>
      </c>
      <c r="L100" s="1">
        <v>84.58141722955493</v>
      </c>
    </row>
    <row r="101" spans="1:12">
      <c r="A101">
        <v>100</v>
      </c>
      <c r="B101">
        <v>0</v>
      </c>
      <c r="C101">
        <v>7.4059999999999997</v>
      </c>
      <c r="D101">
        <v>8.9280000000000008</v>
      </c>
      <c r="E101">
        <f t="shared" si="1"/>
        <v>69.070580541830822</v>
      </c>
      <c r="J101" t="s">
        <v>5</v>
      </c>
      <c r="K101" s="1">
        <v>12.804</v>
      </c>
      <c r="L101" s="1">
        <v>28.186981814503714</v>
      </c>
    </row>
    <row r="102" spans="1:12">
      <c r="A102">
        <v>101</v>
      </c>
      <c r="B102">
        <v>0</v>
      </c>
      <c r="C102">
        <v>8.8469999999999995</v>
      </c>
      <c r="D102">
        <v>9.33</v>
      </c>
      <c r="E102">
        <f t="shared" si="1"/>
        <v>60.423829869679906</v>
      </c>
      <c r="J102" t="s">
        <v>5</v>
      </c>
      <c r="K102" s="1">
        <v>13.173</v>
      </c>
      <c r="L102" s="1">
        <v>22.595579941582226</v>
      </c>
    </row>
    <row r="103" spans="1:12">
      <c r="A103">
        <v>102</v>
      </c>
      <c r="B103">
        <v>0</v>
      </c>
      <c r="C103">
        <v>8.1630000000000003</v>
      </c>
      <c r="D103">
        <v>8.8230000000000004</v>
      </c>
      <c r="E103">
        <f t="shared" si="1"/>
        <v>61.928293843430765</v>
      </c>
      <c r="J103" t="s">
        <v>5</v>
      </c>
      <c r="K103" s="1">
        <v>15.105</v>
      </c>
      <c r="L103" s="1">
        <v>100.0713177831273</v>
      </c>
    </row>
    <row r="104" spans="1:12">
      <c r="A104">
        <v>103</v>
      </c>
      <c r="B104">
        <v>0</v>
      </c>
      <c r="C104">
        <v>8.0449999999999999</v>
      </c>
      <c r="D104">
        <v>6.1269999999999998</v>
      </c>
      <c r="E104">
        <f t="shared" si="1"/>
        <v>43.635952899522103</v>
      </c>
      <c r="J104" t="s">
        <v>5</v>
      </c>
      <c r="K104" s="1">
        <v>15.676</v>
      </c>
      <c r="L104" s="1">
        <v>38.439634673327809</v>
      </c>
    </row>
    <row r="105" spans="1:12">
      <c r="A105">
        <v>104</v>
      </c>
      <c r="B105">
        <v>0</v>
      </c>
      <c r="C105">
        <v>7.117</v>
      </c>
      <c r="D105">
        <v>5.4420000000000002</v>
      </c>
      <c r="E105">
        <f t="shared" si="1"/>
        <v>43.811104694420969</v>
      </c>
      <c r="J105" t="s">
        <v>5</v>
      </c>
      <c r="K105" s="1">
        <v>22.968</v>
      </c>
      <c r="L105" s="1">
        <v>6.488432711316924</v>
      </c>
    </row>
    <row r="109" spans="1:12">
      <c r="K109" s="1">
        <f>AVERAGE(K24:K105)</f>
        <v>8.3670853658536615</v>
      </c>
    </row>
    <row r="110" spans="1:12">
      <c r="K110" s="1">
        <f>MEDIAN(K24:K105)</f>
        <v>7.681</v>
      </c>
    </row>
    <row r="111" spans="1:12">
      <c r="K111">
        <f>MODE(K24:K105)</f>
        <v>6.0389999999999997</v>
      </c>
    </row>
  </sheetData>
  <autoFilter ref="J1:L105" xr:uid="{8D7E2AC5-AC32-4CD2-A9BD-239900B77F6F}">
    <sortState xmlns:xlrd2="http://schemas.microsoft.com/office/spreadsheetml/2017/richdata2" ref="J2:L105">
      <sortCondition ref="K1:K105"/>
    </sortState>
  </autoFilter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92B242CDD9CE49BC4D0E285EB38331" ma:contentTypeVersion="12" ma:contentTypeDescription="Create a new document." ma:contentTypeScope="" ma:versionID="e364616db8f0336f2740fa6f962b4354">
  <xsd:schema xmlns:xsd="http://www.w3.org/2001/XMLSchema" xmlns:xs="http://www.w3.org/2001/XMLSchema" xmlns:p="http://schemas.microsoft.com/office/2006/metadata/properties" xmlns:ns2="618b7058-13f3-42ff-babb-9f2d49699d18" xmlns:ns3="14afd1d5-9f3a-4ab5-b7ac-ac93300d8d97" targetNamespace="http://schemas.microsoft.com/office/2006/metadata/properties" ma:root="true" ma:fieldsID="d2ab0269cb24e2ac8981a108f7ab294e" ns2:_="" ns3:_="">
    <xsd:import namespace="618b7058-13f3-42ff-babb-9f2d49699d18"/>
    <xsd:import namespace="14afd1d5-9f3a-4ab5-b7ac-ac93300d8d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8b7058-13f3-42ff-babb-9f2d49699d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d7c1f5d-fd05-4bdd-ba61-20947c44a7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afd1d5-9f3a-4ab5-b7ac-ac93300d8d9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f41c012c-7ac7-4918-9b23-88f86b395a88}" ma:internalName="TaxCatchAll" ma:showField="CatchAllData" ma:web="14afd1d5-9f3a-4ab5-b7ac-ac93300d8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4afd1d5-9f3a-4ab5-b7ac-ac93300d8d97" xsi:nil="true"/>
    <lcf76f155ced4ddcb4097134ff3c332f xmlns="618b7058-13f3-42ff-babb-9f2d49699d1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C840268-F8B4-444F-B6C3-BC0B52DCDAF0}"/>
</file>

<file path=customXml/itemProps2.xml><?xml version="1.0" encoding="utf-8"?>
<ds:datastoreItem xmlns:ds="http://schemas.openxmlformats.org/officeDocument/2006/customXml" ds:itemID="{9F034932-80F2-4C6E-81B1-93EA8C4D9E5A}"/>
</file>

<file path=customXml/itemProps3.xml><?xml version="1.0" encoding="utf-8"?>
<ds:datastoreItem xmlns:ds="http://schemas.openxmlformats.org/officeDocument/2006/customXml" ds:itemID="{4B087DB0-C578-4D70-B6D4-E785016F14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Jonathan Nicholas</dc:creator>
  <cp:keywords/>
  <dc:description/>
  <cp:lastModifiedBy>Max Zhang</cp:lastModifiedBy>
  <cp:revision/>
  <dcterms:created xsi:type="dcterms:W3CDTF">2024-02-08T20:16:10Z</dcterms:created>
  <dcterms:modified xsi:type="dcterms:W3CDTF">2024-02-29T02:09:14Z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0x010100FE92B242CDD9CE49BC4D0E285EB38331</vt:lpwstr>
  </property>
  <property fmtid="{D5CDD505-2E9C-101B-9397-08002B2CF9AE}" pid="3" name="Order">
    <vt:r8>462700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MediaServiceImageTags">
    <vt:lpwstr/>
  </property>
</Properties>
</file>